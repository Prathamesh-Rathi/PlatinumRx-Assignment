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thamesh\Downloads\"/>
    </mc:Choice>
  </mc:AlternateContent>
  <xr:revisionPtr revIDLastSave="0" documentId="13_ncr:1_{388518BE-951B-46E5-A49A-3EE628296F3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3" r:id="rId1"/>
    <sheet name="ticket" sheetId="1" r:id="rId2"/>
    <sheet name="feedbacks" sheetId="2" r:id="rId3"/>
  </sheets>
  <calcPr calcId="191029"/>
  <pivotCaches>
    <pivotCache cacheId="5" r:id="rId4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</calcChain>
</file>

<file path=xl/sharedStrings.xml><?xml version="1.0" encoding="utf-8"?>
<sst xmlns="http://schemas.openxmlformats.org/spreadsheetml/2006/main" count="186" uniqueCount="132">
  <si>
    <t>ticket_id</t>
  </si>
  <si>
    <t>created_at</t>
  </si>
  <si>
    <t>closed_at</t>
  </si>
  <si>
    <t>outlet_id</t>
  </si>
  <si>
    <t>cms_id</t>
  </si>
  <si>
    <t>t1</t>
  </si>
  <si>
    <t>2021-08-19 16:45:43</t>
  </si>
  <si>
    <t>2021-08-19 18:00:00</t>
  </si>
  <si>
    <t>o1</t>
  </si>
  <si>
    <t>c1</t>
  </si>
  <si>
    <t>t2</t>
  </si>
  <si>
    <t>2021-08-21 11:09:22</t>
  </si>
  <si>
    <t>2021-08-21 11:50:00</t>
  </si>
  <si>
    <t>o2</t>
  </si>
  <si>
    <t>c2</t>
  </si>
  <si>
    <t>t3</t>
  </si>
  <si>
    <t>2021-08-21 13:00:00</t>
  </si>
  <si>
    <t>2021-08-22 14:00:00</t>
  </si>
  <si>
    <t>c3</t>
  </si>
  <si>
    <t>t4</t>
  </si>
  <si>
    <t>2021-08-22 10:15:00</t>
  </si>
  <si>
    <t>2021-08-22 10:45:00</t>
  </si>
  <si>
    <t>o3</t>
  </si>
  <si>
    <t>c4</t>
  </si>
  <si>
    <t>t5</t>
  </si>
  <si>
    <t>2021-08-22 12:00:00</t>
  </si>
  <si>
    <t>2021-08-22 12:30:00</t>
  </si>
  <si>
    <t>c5</t>
  </si>
  <si>
    <t>t6</t>
  </si>
  <si>
    <t>2021-08-23 09:00:00</t>
  </si>
  <si>
    <t>2021-08-23 11:00:00</t>
  </si>
  <si>
    <t>c6</t>
  </si>
  <si>
    <t>t7</t>
  </si>
  <si>
    <t>2021-08-23 14:00:00</t>
  </si>
  <si>
    <t>2021-08-24 16:00:00</t>
  </si>
  <si>
    <t>c7</t>
  </si>
  <si>
    <t>t8</t>
  </si>
  <si>
    <t>2021-08-24 08:30:00</t>
  </si>
  <si>
    <t>2021-08-24 09:15:00</t>
  </si>
  <si>
    <t>c8</t>
  </si>
  <si>
    <t>t9</t>
  </si>
  <si>
    <t>2021-08-24 10:00:00</t>
  </si>
  <si>
    <t>2021-08-24 10:45:00</t>
  </si>
  <si>
    <t>c9</t>
  </si>
  <si>
    <t>t10</t>
  </si>
  <si>
    <t>2021-08-25 15:00:00</t>
  </si>
  <si>
    <t>2021-08-25 15:20:00</t>
  </si>
  <si>
    <t>c10</t>
  </si>
  <si>
    <t>t11</t>
  </si>
  <si>
    <t>2021-08-25 16:00:00</t>
  </si>
  <si>
    <t>2021-08-25 17:00:00</t>
  </si>
  <si>
    <t>c11</t>
  </si>
  <si>
    <t>t12</t>
  </si>
  <si>
    <t>2021-08-26 11:00:00</t>
  </si>
  <si>
    <t>2021-08-26 12:00:00</t>
  </si>
  <si>
    <t>c12</t>
  </si>
  <si>
    <t>t13</t>
  </si>
  <si>
    <t>2021-08-26 13:00:00</t>
  </si>
  <si>
    <t>2021-08-27 14:00:00</t>
  </si>
  <si>
    <t>c13</t>
  </si>
  <si>
    <t>t14</t>
  </si>
  <si>
    <t>2021-08-27 09:30:00</t>
  </si>
  <si>
    <t>2021-08-27 10:30:00</t>
  </si>
  <si>
    <t>c14</t>
  </si>
  <si>
    <t>t15</t>
  </si>
  <si>
    <t>2021-08-27 11:00:00</t>
  </si>
  <si>
    <t>2021-08-27 11:45:00</t>
  </si>
  <si>
    <t>c15</t>
  </si>
  <si>
    <t>t16</t>
  </si>
  <si>
    <t>2021-08-28 14:00:00</t>
  </si>
  <si>
    <t>2021-08-28 16:00:00</t>
  </si>
  <si>
    <t>c16</t>
  </si>
  <si>
    <t>t17</t>
  </si>
  <si>
    <t>2021-08-28 17:00:00</t>
  </si>
  <si>
    <t>2021-08-29 18:00:00</t>
  </si>
  <si>
    <t>c17</t>
  </si>
  <si>
    <t>t18</t>
  </si>
  <si>
    <t>2021-08-29 08:00:00</t>
  </si>
  <si>
    <t>2021-08-29 08:30:00</t>
  </si>
  <si>
    <t>c18</t>
  </si>
  <si>
    <t>t19</t>
  </si>
  <si>
    <t>2021-08-29 09:00:00</t>
  </si>
  <si>
    <t>2021-08-29 09:50:00</t>
  </si>
  <si>
    <t>c19</t>
  </si>
  <si>
    <t>t20</t>
  </si>
  <si>
    <t>2021-08-30 10:00:00</t>
  </si>
  <si>
    <t>2021-08-30 11:00:00</t>
  </si>
  <si>
    <t>c20</t>
  </si>
  <si>
    <t>t21</t>
  </si>
  <si>
    <t>2021-08-30 12:00:00</t>
  </si>
  <si>
    <t>2021-08-30 12:45:00</t>
  </si>
  <si>
    <t>c21</t>
  </si>
  <si>
    <t>t22</t>
  </si>
  <si>
    <t>2021-08-30 13:00:00</t>
  </si>
  <si>
    <t>2021-08-31 14:00:00</t>
  </si>
  <si>
    <t>c22</t>
  </si>
  <si>
    <t>t23</t>
  </si>
  <si>
    <t>2021-08-31 09:00:00</t>
  </si>
  <si>
    <t>2021-08-31 10:00:00</t>
  </si>
  <si>
    <t>c23</t>
  </si>
  <si>
    <t>t24</t>
  </si>
  <si>
    <t>2021-08-31 11:00:00</t>
  </si>
  <si>
    <t>2021-08-31 12:00:00</t>
  </si>
  <si>
    <t>c24</t>
  </si>
  <si>
    <t>t25</t>
  </si>
  <si>
    <t>2021-08-31 13:00:00</t>
  </si>
  <si>
    <t>2021-08-31 13:30:00</t>
  </si>
  <si>
    <t>c25</t>
  </si>
  <si>
    <t>feedback_at</t>
  </si>
  <si>
    <t>feedback_rating</t>
  </si>
  <si>
    <t>ticket_created_at</t>
  </si>
  <si>
    <t>2021-08-21 13:26:48</t>
  </si>
  <si>
    <t>2021-08-21 14:00:00</t>
  </si>
  <si>
    <t>2021-08-22 15:00:00</t>
  </si>
  <si>
    <t>2021-08-22 11:00:00</t>
  </si>
  <si>
    <t>2021-08-22 13:00:00</t>
  </si>
  <si>
    <t>2021-08-23 12:00:00</t>
  </si>
  <si>
    <t>2021-08-24 17:00:00</t>
  </si>
  <si>
    <t>2021-08-24 11:00:00</t>
  </si>
  <si>
    <t>2021-08-25 18:00:00</t>
  </si>
  <si>
    <t>2021-08-27 15:00:00</t>
  </si>
  <si>
    <t>2021-08-27 12:00:00</t>
  </si>
  <si>
    <t>2021-08-29 19:00:00</t>
  </si>
  <si>
    <t>2021-08-29 10:30:00</t>
  </si>
  <si>
    <t>2021-08-30 11:30:00</t>
  </si>
  <si>
    <t>Same Day</t>
  </si>
  <si>
    <t>Same Hour</t>
  </si>
  <si>
    <t>Row Labels</t>
  </si>
  <si>
    <t>Grand Total</t>
  </si>
  <si>
    <t>Count of ticket_id</t>
  </si>
  <si>
    <t>(All)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</si>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</sst>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amesh" refreshedDate="46121.624220254627" createdVersion="8" refreshedVersion="8" minRefreshableVersion="3" recordCount="25" xr:uid="{F242E016-A76C-4756-B622-4711FEEF6934}">
  <cacheSource type="worksheet">
    <worksheetSource ref="A1:G26" sheet="ticket"/>
  </cacheSource>
  <cacheFields count="7">
    <cacheField name="ticket_id" numFmtId="0">
      <sharedItems/>
    </cacheField>
    <cacheField name="created_at" numFmtId="0">
      <sharedItems/>
    </cacheField>
    <cacheField name="closed_at" numFmtId="0">
      <sharedItems/>
    </cacheField>
    <cacheField name="outlet_id" numFmtId="0">
      <sharedItems count="3">
        <s v="o1"/>
        <s v="o2"/>
        <s v="o3"/>
      </sharedItems>
    </cacheField>
    <cacheField name="cms_id" numFmtId="0">
      <sharedItems/>
    </cacheField>
    <cacheField name="Same Day" numFmtId="0">
      <sharedItems count="2">
        <s v="Yes"/>
        <s v="No"/>
      </sharedItems>
    </cacheField>
    <cacheField name="Same Hour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t1"/>
    <s v="2021-08-19 16:45:43"/>
    <s v="2021-08-19 18:00:00"/>
    <x v="0"/>
    <s v="c1"/>
    <x v="0"/>
    <x v="0"/>
  </r>
  <r>
    <s v="t2"/>
    <s v="2021-08-21 11:09:22"/>
    <s v="2021-08-21 11:50:00"/>
    <x v="1"/>
    <s v="c2"/>
    <x v="0"/>
    <x v="1"/>
  </r>
  <r>
    <s v="t3"/>
    <s v="2021-08-21 13:00:00"/>
    <s v="2021-08-22 14:00:00"/>
    <x v="0"/>
    <s v="c3"/>
    <x v="1"/>
    <x v="0"/>
  </r>
  <r>
    <s v="t4"/>
    <s v="2021-08-22 10:15:00"/>
    <s v="2021-08-22 10:45:00"/>
    <x v="2"/>
    <s v="c4"/>
    <x v="0"/>
    <x v="1"/>
  </r>
  <r>
    <s v="t5"/>
    <s v="2021-08-22 12:00:00"/>
    <s v="2021-08-22 12:30:00"/>
    <x v="1"/>
    <s v="c5"/>
    <x v="0"/>
    <x v="1"/>
  </r>
  <r>
    <s v="t6"/>
    <s v="2021-08-23 09:00:00"/>
    <s v="2021-08-23 11:00:00"/>
    <x v="0"/>
    <s v="c6"/>
    <x v="0"/>
    <x v="0"/>
  </r>
  <r>
    <s v="t7"/>
    <s v="2021-08-23 14:00:00"/>
    <s v="2021-08-24 16:00:00"/>
    <x v="2"/>
    <s v="c7"/>
    <x v="1"/>
    <x v="0"/>
  </r>
  <r>
    <s v="t8"/>
    <s v="2021-08-24 08:30:00"/>
    <s v="2021-08-24 09:15:00"/>
    <x v="1"/>
    <s v="c8"/>
    <x v="0"/>
    <x v="0"/>
  </r>
  <r>
    <s v="t9"/>
    <s v="2021-08-24 10:00:00"/>
    <s v="2021-08-24 10:45:00"/>
    <x v="0"/>
    <s v="c9"/>
    <x v="0"/>
    <x v="1"/>
  </r>
  <r>
    <s v="t10"/>
    <s v="2021-08-25 15:00:00"/>
    <s v="2021-08-25 15:20:00"/>
    <x v="2"/>
    <s v="c10"/>
    <x v="0"/>
    <x v="1"/>
  </r>
  <r>
    <s v="t11"/>
    <s v="2021-08-25 16:00:00"/>
    <s v="2021-08-25 17:00:00"/>
    <x v="0"/>
    <s v="c11"/>
    <x v="0"/>
    <x v="0"/>
  </r>
  <r>
    <s v="t12"/>
    <s v="2021-08-26 11:00:00"/>
    <s v="2021-08-26 12:00:00"/>
    <x v="1"/>
    <s v="c12"/>
    <x v="0"/>
    <x v="0"/>
  </r>
  <r>
    <s v="t13"/>
    <s v="2021-08-26 13:00:00"/>
    <s v="2021-08-27 14:00:00"/>
    <x v="2"/>
    <s v="c13"/>
    <x v="1"/>
    <x v="0"/>
  </r>
  <r>
    <s v="t14"/>
    <s v="2021-08-27 09:30:00"/>
    <s v="2021-08-27 10:30:00"/>
    <x v="0"/>
    <s v="c14"/>
    <x v="0"/>
    <x v="0"/>
  </r>
  <r>
    <s v="t15"/>
    <s v="2021-08-27 11:00:00"/>
    <s v="2021-08-27 11:45:00"/>
    <x v="1"/>
    <s v="c15"/>
    <x v="0"/>
    <x v="1"/>
  </r>
  <r>
    <s v="t16"/>
    <s v="2021-08-28 14:00:00"/>
    <s v="2021-08-28 16:00:00"/>
    <x v="2"/>
    <s v="c16"/>
    <x v="0"/>
    <x v="0"/>
  </r>
  <r>
    <s v="t17"/>
    <s v="2021-08-28 17:00:00"/>
    <s v="2021-08-29 18:00:00"/>
    <x v="0"/>
    <s v="c17"/>
    <x v="1"/>
    <x v="0"/>
  </r>
  <r>
    <s v="t18"/>
    <s v="2021-08-29 08:00:00"/>
    <s v="2021-08-29 08:30:00"/>
    <x v="1"/>
    <s v="c18"/>
    <x v="0"/>
    <x v="1"/>
  </r>
  <r>
    <s v="t19"/>
    <s v="2021-08-29 09:00:00"/>
    <s v="2021-08-29 09:50:00"/>
    <x v="2"/>
    <s v="c19"/>
    <x v="0"/>
    <x v="1"/>
  </r>
  <r>
    <s v="t20"/>
    <s v="2021-08-30 10:00:00"/>
    <s v="2021-08-30 11:00:00"/>
    <x v="0"/>
    <s v="c20"/>
    <x v="0"/>
    <x v="0"/>
  </r>
  <r>
    <s v="t21"/>
    <s v="2021-08-30 12:00:00"/>
    <s v="2021-08-30 12:45:00"/>
    <x v="1"/>
    <s v="c21"/>
    <x v="0"/>
    <x v="1"/>
  </r>
  <r>
    <s v="t22"/>
    <s v="2021-08-30 13:00:00"/>
    <s v="2021-08-31 14:00:00"/>
    <x v="2"/>
    <s v="c22"/>
    <x v="1"/>
    <x v="0"/>
  </r>
  <r>
    <s v="t23"/>
    <s v="2021-08-31 09:00:00"/>
    <s v="2021-08-31 10:00:00"/>
    <x v="0"/>
    <s v="c23"/>
    <x v="0"/>
    <x v="0"/>
  </r>
  <r>
    <s v="t24"/>
    <s v="2021-08-31 11:00:00"/>
    <s v="2021-08-31 12:00:00"/>
    <x v="1"/>
    <s v="c24"/>
    <x v="0"/>
    <x v="0"/>
  </r>
  <r>
    <s v="t25"/>
    <s v="2021-08-31 13:00:00"/>
    <s v="2021-08-31 13:30:00"/>
    <x v="2"/>
    <s v="c2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4A55A-E5D4-4AEC-95E2-A6BAC57F8AC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8" firstHeaderRow="1" firstDataRow="1" firstDataCol="1" rowPageCount="2" colPageCount="1"/>
  <pivotFields count="7">
    <pivotField dataField="1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5" hier="-1"/>
    <pageField fld="6" item="1" hier="-1"/>
  </pageFields>
  <dataFields count="1">
    <dataField name="Count of ticke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10747-E9D6-4D9C-B3BB-DA0F1B947D0F}">
  <dimension ref="A1:B8"/>
  <sheetViews>
    <sheetView tabSelected="1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1" spans="1:2" x14ac:dyDescent="0.3">
      <c r="A1" s="1" t="s">
        <v>125</v>
      </c>
      <c r="B1" t="s">
        <v>130</v>
      </c>
    </row>
    <row r="2" spans="1:2" x14ac:dyDescent="0.3">
      <c r="A2" s="1" t="s">
        <v>126</v>
      </c>
      <c r="B2" t="s">
        <v>131</v>
      </c>
    </row>
    <row r="4" spans="1:2" x14ac:dyDescent="0.3">
      <c r="A4" s="1" t="s">
        <v>127</v>
      </c>
      <c r="B4" t="s">
        <v>129</v>
      </c>
    </row>
    <row r="5" spans="1:2" x14ac:dyDescent="0.3">
      <c r="A5" s="2" t="s">
        <v>8</v>
      </c>
      <c r="B5" s="3">
        <v>1</v>
      </c>
    </row>
    <row r="6" spans="1:2" x14ac:dyDescent="0.3">
      <c r="A6" s="2" t="s">
        <v>13</v>
      </c>
      <c r="B6" s="3">
        <v>5</v>
      </c>
    </row>
    <row r="7" spans="1:2" x14ac:dyDescent="0.3">
      <c r="A7" s="2" t="s">
        <v>22</v>
      </c>
      <c r="B7" s="3">
        <v>4</v>
      </c>
    </row>
    <row r="8" spans="1:2" x14ac:dyDescent="0.3">
      <c r="A8" s="2" t="s">
        <v>128</v>
      </c>
      <c r="B8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G26" sqref="A1:G2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125</v>
      </c>
      <c r="G1" t="s">
        <v>126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tr">
        <f>IF(INT(B2)=INT(C2),"Yes","No")</f>
        <v>Yes</v>
      </c>
      <c r="G2" t="str">
        <f>IF(AND(INT(B2)=INT(C2), HOUR(B2)=HOUR(C2)),"Yes","No")</f>
        <v>No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tr">
        <f t="shared" ref="F3:F26" si="0">IF(INT(B3)=INT(C3),"Yes","No")</f>
        <v>Yes</v>
      </c>
      <c r="G3" t="str">
        <f t="shared" ref="G3:G26" si="1">IF(AND(INT(B3)=INT(C3), HOUR(B3)=HOUR(C3)),"Yes","No")</f>
        <v>Yes</v>
      </c>
    </row>
    <row r="4" spans="1:7" x14ac:dyDescent="0.3">
      <c r="A4" t="s">
        <v>15</v>
      </c>
      <c r="B4" t="s">
        <v>16</v>
      </c>
      <c r="C4" t="s">
        <v>17</v>
      </c>
      <c r="D4" t="s">
        <v>8</v>
      </c>
      <c r="E4" t="s">
        <v>18</v>
      </c>
      <c r="F4" t="str">
        <f t="shared" si="0"/>
        <v>No</v>
      </c>
      <c r="G4" t="str">
        <f t="shared" si="1"/>
        <v>No</v>
      </c>
    </row>
    <row r="5" spans="1:7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tr">
        <f t="shared" si="0"/>
        <v>Yes</v>
      </c>
      <c r="G5" t="str">
        <f t="shared" si="1"/>
        <v>Yes</v>
      </c>
    </row>
    <row r="6" spans="1:7" x14ac:dyDescent="0.3">
      <c r="A6" t="s">
        <v>24</v>
      </c>
      <c r="B6" t="s">
        <v>25</v>
      </c>
      <c r="C6" t="s">
        <v>26</v>
      </c>
      <c r="D6" t="s">
        <v>13</v>
      </c>
      <c r="E6" t="s">
        <v>27</v>
      </c>
      <c r="F6" t="str">
        <f t="shared" si="0"/>
        <v>Yes</v>
      </c>
      <c r="G6" t="str">
        <f t="shared" si="1"/>
        <v>Yes</v>
      </c>
    </row>
    <row r="7" spans="1:7" x14ac:dyDescent="0.3">
      <c r="A7" t="s">
        <v>28</v>
      </c>
      <c r="B7" t="s">
        <v>29</v>
      </c>
      <c r="C7" t="s">
        <v>30</v>
      </c>
      <c r="D7" t="s">
        <v>8</v>
      </c>
      <c r="E7" t="s">
        <v>31</v>
      </c>
      <c r="F7" t="str">
        <f t="shared" si="0"/>
        <v>Yes</v>
      </c>
      <c r="G7" t="str">
        <f t="shared" si="1"/>
        <v>No</v>
      </c>
    </row>
    <row r="8" spans="1:7" x14ac:dyDescent="0.3">
      <c r="A8" t="s">
        <v>32</v>
      </c>
      <c r="B8" t="s">
        <v>33</v>
      </c>
      <c r="C8" t="s">
        <v>34</v>
      </c>
      <c r="D8" t="s">
        <v>22</v>
      </c>
      <c r="E8" t="s">
        <v>35</v>
      </c>
      <c r="F8" t="str">
        <f t="shared" si="0"/>
        <v>No</v>
      </c>
      <c r="G8" t="str">
        <f t="shared" si="1"/>
        <v>No</v>
      </c>
    </row>
    <row r="9" spans="1:7" x14ac:dyDescent="0.3">
      <c r="A9" t="s">
        <v>36</v>
      </c>
      <c r="B9" t="s">
        <v>37</v>
      </c>
      <c r="C9" t="s">
        <v>38</v>
      </c>
      <c r="D9" t="s">
        <v>13</v>
      </c>
      <c r="E9" t="s">
        <v>39</v>
      </c>
      <c r="F9" t="str">
        <f t="shared" si="0"/>
        <v>Yes</v>
      </c>
      <c r="G9" t="str">
        <f t="shared" si="1"/>
        <v>No</v>
      </c>
    </row>
    <row r="10" spans="1:7" x14ac:dyDescent="0.3">
      <c r="A10" t="s">
        <v>40</v>
      </c>
      <c r="B10" t="s">
        <v>41</v>
      </c>
      <c r="C10" t="s">
        <v>42</v>
      </c>
      <c r="D10" t="s">
        <v>8</v>
      </c>
      <c r="E10" t="s">
        <v>43</v>
      </c>
      <c r="F10" t="str">
        <f t="shared" si="0"/>
        <v>Yes</v>
      </c>
      <c r="G10" t="str">
        <f t="shared" si="1"/>
        <v>Yes</v>
      </c>
    </row>
    <row r="11" spans="1:7" x14ac:dyDescent="0.3">
      <c r="A11" t="s">
        <v>44</v>
      </c>
      <c r="B11" t="s">
        <v>45</v>
      </c>
      <c r="C11" t="s">
        <v>46</v>
      </c>
      <c r="D11" t="s">
        <v>22</v>
      </c>
      <c r="E11" t="s">
        <v>47</v>
      </c>
      <c r="F11" t="str">
        <f t="shared" si="0"/>
        <v>Yes</v>
      </c>
      <c r="G11" t="str">
        <f t="shared" si="1"/>
        <v>Yes</v>
      </c>
    </row>
    <row r="12" spans="1:7" x14ac:dyDescent="0.3">
      <c r="A12" t="s">
        <v>48</v>
      </c>
      <c r="B12" t="s">
        <v>49</v>
      </c>
      <c r="C12" t="s">
        <v>50</v>
      </c>
      <c r="D12" t="s">
        <v>8</v>
      </c>
      <c r="E12" t="s">
        <v>51</v>
      </c>
      <c r="F12" t="str">
        <f t="shared" si="0"/>
        <v>Yes</v>
      </c>
      <c r="G12" t="str">
        <f t="shared" si="1"/>
        <v>No</v>
      </c>
    </row>
    <row r="13" spans="1:7" x14ac:dyDescent="0.3">
      <c r="A13" t="s">
        <v>52</v>
      </c>
      <c r="B13" t="s">
        <v>53</v>
      </c>
      <c r="C13" t="s">
        <v>54</v>
      </c>
      <c r="D13" t="s">
        <v>13</v>
      </c>
      <c r="E13" t="s">
        <v>55</v>
      </c>
      <c r="F13" t="str">
        <f t="shared" si="0"/>
        <v>Yes</v>
      </c>
      <c r="G13" t="str">
        <f t="shared" si="1"/>
        <v>No</v>
      </c>
    </row>
    <row r="14" spans="1:7" x14ac:dyDescent="0.3">
      <c r="A14" t="s">
        <v>56</v>
      </c>
      <c r="B14" t="s">
        <v>57</v>
      </c>
      <c r="C14" t="s">
        <v>58</v>
      </c>
      <c r="D14" t="s">
        <v>22</v>
      </c>
      <c r="E14" t="s">
        <v>59</v>
      </c>
      <c r="F14" t="str">
        <f t="shared" si="0"/>
        <v>No</v>
      </c>
      <c r="G14" t="str">
        <f t="shared" si="1"/>
        <v>No</v>
      </c>
    </row>
    <row r="15" spans="1:7" x14ac:dyDescent="0.3">
      <c r="A15" t="s">
        <v>60</v>
      </c>
      <c r="B15" t="s">
        <v>61</v>
      </c>
      <c r="C15" t="s">
        <v>62</v>
      </c>
      <c r="D15" t="s">
        <v>8</v>
      </c>
      <c r="E15" t="s">
        <v>63</v>
      </c>
      <c r="F15" t="str">
        <f t="shared" si="0"/>
        <v>Yes</v>
      </c>
      <c r="G15" t="str">
        <f t="shared" si="1"/>
        <v>No</v>
      </c>
    </row>
    <row r="16" spans="1:7" x14ac:dyDescent="0.3">
      <c r="A16" t="s">
        <v>64</v>
      </c>
      <c r="B16" t="s">
        <v>65</v>
      </c>
      <c r="C16" t="s">
        <v>66</v>
      </c>
      <c r="D16" t="s">
        <v>13</v>
      </c>
      <c r="E16" t="s">
        <v>67</v>
      </c>
      <c r="F16" t="str">
        <f t="shared" si="0"/>
        <v>Yes</v>
      </c>
      <c r="G16" t="str">
        <f t="shared" si="1"/>
        <v>Yes</v>
      </c>
    </row>
    <row r="17" spans="1:7" x14ac:dyDescent="0.3">
      <c r="A17" t="s">
        <v>68</v>
      </c>
      <c r="B17" t="s">
        <v>69</v>
      </c>
      <c r="C17" t="s">
        <v>70</v>
      </c>
      <c r="D17" t="s">
        <v>22</v>
      </c>
      <c r="E17" t="s">
        <v>71</v>
      </c>
      <c r="F17" t="str">
        <f t="shared" si="0"/>
        <v>Yes</v>
      </c>
      <c r="G17" t="str">
        <f t="shared" si="1"/>
        <v>No</v>
      </c>
    </row>
    <row r="18" spans="1:7" x14ac:dyDescent="0.3">
      <c r="A18" t="s">
        <v>72</v>
      </c>
      <c r="B18" t="s">
        <v>73</v>
      </c>
      <c r="C18" t="s">
        <v>74</v>
      </c>
      <c r="D18" t="s">
        <v>8</v>
      </c>
      <c r="E18" t="s">
        <v>75</v>
      </c>
      <c r="F18" t="str">
        <f t="shared" si="0"/>
        <v>No</v>
      </c>
      <c r="G18" t="str">
        <f t="shared" si="1"/>
        <v>No</v>
      </c>
    </row>
    <row r="19" spans="1:7" x14ac:dyDescent="0.3">
      <c r="A19" t="s">
        <v>76</v>
      </c>
      <c r="B19" t="s">
        <v>77</v>
      </c>
      <c r="C19" t="s">
        <v>78</v>
      </c>
      <c r="D19" t="s">
        <v>13</v>
      </c>
      <c r="E19" t="s">
        <v>79</v>
      </c>
      <c r="F19" t="str">
        <f t="shared" si="0"/>
        <v>Yes</v>
      </c>
      <c r="G19" t="str">
        <f t="shared" si="1"/>
        <v>Yes</v>
      </c>
    </row>
    <row r="20" spans="1:7" x14ac:dyDescent="0.3">
      <c r="A20" t="s">
        <v>80</v>
      </c>
      <c r="B20" t="s">
        <v>81</v>
      </c>
      <c r="C20" t="s">
        <v>82</v>
      </c>
      <c r="D20" t="s">
        <v>22</v>
      </c>
      <c r="E20" t="s">
        <v>83</v>
      </c>
      <c r="F20" t="str">
        <f t="shared" si="0"/>
        <v>Yes</v>
      </c>
      <c r="G20" t="str">
        <f t="shared" si="1"/>
        <v>Yes</v>
      </c>
    </row>
    <row r="21" spans="1:7" x14ac:dyDescent="0.3">
      <c r="A21" t="s">
        <v>84</v>
      </c>
      <c r="B21" t="s">
        <v>85</v>
      </c>
      <c r="C21" t="s">
        <v>86</v>
      </c>
      <c r="D21" t="s">
        <v>8</v>
      </c>
      <c r="E21" t="s">
        <v>87</v>
      </c>
      <c r="F21" t="str">
        <f t="shared" si="0"/>
        <v>Yes</v>
      </c>
      <c r="G21" t="str">
        <f t="shared" si="1"/>
        <v>No</v>
      </c>
    </row>
    <row r="22" spans="1:7" x14ac:dyDescent="0.3">
      <c r="A22" t="s">
        <v>88</v>
      </c>
      <c r="B22" t="s">
        <v>89</v>
      </c>
      <c r="C22" t="s">
        <v>90</v>
      </c>
      <c r="D22" t="s">
        <v>13</v>
      </c>
      <c r="E22" t="s">
        <v>91</v>
      </c>
      <c r="F22" t="str">
        <f t="shared" si="0"/>
        <v>Yes</v>
      </c>
      <c r="G22" t="str">
        <f t="shared" si="1"/>
        <v>Yes</v>
      </c>
    </row>
    <row r="23" spans="1:7" x14ac:dyDescent="0.3">
      <c r="A23" t="s">
        <v>92</v>
      </c>
      <c r="B23" t="s">
        <v>93</v>
      </c>
      <c r="C23" t="s">
        <v>94</v>
      </c>
      <c r="D23" t="s">
        <v>22</v>
      </c>
      <c r="E23" t="s">
        <v>95</v>
      </c>
      <c r="F23" t="str">
        <f t="shared" si="0"/>
        <v>No</v>
      </c>
      <c r="G23" t="str">
        <f t="shared" si="1"/>
        <v>No</v>
      </c>
    </row>
    <row r="24" spans="1:7" x14ac:dyDescent="0.3">
      <c r="A24" t="s">
        <v>96</v>
      </c>
      <c r="B24" t="s">
        <v>97</v>
      </c>
      <c r="C24" t="s">
        <v>98</v>
      </c>
      <c r="D24" t="s">
        <v>8</v>
      </c>
      <c r="E24" t="s">
        <v>99</v>
      </c>
      <c r="F24" t="str">
        <f t="shared" si="0"/>
        <v>Yes</v>
      </c>
      <c r="G24" t="str">
        <f t="shared" si="1"/>
        <v>No</v>
      </c>
    </row>
    <row r="25" spans="1:7" x14ac:dyDescent="0.3">
      <c r="A25" t="s">
        <v>100</v>
      </c>
      <c r="B25" t="s">
        <v>101</v>
      </c>
      <c r="C25" t="s">
        <v>102</v>
      </c>
      <c r="D25" t="s">
        <v>13</v>
      </c>
      <c r="E25" t="s">
        <v>103</v>
      </c>
      <c r="F25" t="str">
        <f t="shared" si="0"/>
        <v>Yes</v>
      </c>
      <c r="G25" t="str">
        <f t="shared" si="1"/>
        <v>No</v>
      </c>
    </row>
    <row r="26" spans="1:7" x14ac:dyDescent="0.3">
      <c r="A26" t="s">
        <v>104</v>
      </c>
      <c r="B26" t="s">
        <v>105</v>
      </c>
      <c r="C26" t="s">
        <v>106</v>
      </c>
      <c r="D26" t="s">
        <v>22</v>
      </c>
      <c r="E26" t="s">
        <v>107</v>
      </c>
      <c r="F26" t="str">
        <f t="shared" si="0"/>
        <v>Yes</v>
      </c>
      <c r="G26" t="str">
        <f t="shared" si="1"/>
        <v>Yes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selection activeCell="D2" sqref="D2:D21"/>
    </sheetView>
  </sheetViews>
  <sheetFormatPr defaultRowHeight="14.4" x14ac:dyDescent="0.3"/>
  <sheetData>
    <row r="1" spans="1:4" x14ac:dyDescent="0.3">
      <c r="A1" t="s">
        <v>4</v>
      </c>
      <c r="B1" t="s">
        <v>108</v>
      </c>
      <c r="C1" t="s">
        <v>109</v>
      </c>
      <c r="D1" t="s">
        <v>110</v>
      </c>
    </row>
    <row r="2" spans="1:4" x14ac:dyDescent="0.3">
      <c r="A2" t="s">
        <v>9</v>
      </c>
      <c r="B2" t="s">
        <v>111</v>
      </c>
      <c r="C2">
        <v>3</v>
      </c>
      <c r="D2" t="str">
        <f>INDEX(ticket!B:B, MATCH(A2, ticket!E:E, 0))</f>
        <v>2021-08-19 16:45:43</v>
      </c>
    </row>
    <row r="3" spans="1:4" x14ac:dyDescent="0.3">
      <c r="A3" t="s">
        <v>14</v>
      </c>
      <c r="B3" t="s">
        <v>112</v>
      </c>
      <c r="C3">
        <v>4</v>
      </c>
      <c r="D3" t="str">
        <f>INDEX(ticket!B:B, MATCH(A3, ticket!E:E, 0))</f>
        <v>2021-08-21 11:09:22</v>
      </c>
    </row>
    <row r="4" spans="1:4" x14ac:dyDescent="0.3">
      <c r="A4" t="s">
        <v>18</v>
      </c>
      <c r="B4" t="s">
        <v>113</v>
      </c>
      <c r="C4">
        <v>2</v>
      </c>
      <c r="D4" t="str">
        <f>INDEX(ticket!B:B, MATCH(A4, ticket!E:E, 0))</f>
        <v>2021-08-21 13:00:00</v>
      </c>
    </row>
    <row r="5" spans="1:4" x14ac:dyDescent="0.3">
      <c r="A5" t="s">
        <v>23</v>
      </c>
      <c r="B5" t="s">
        <v>114</v>
      </c>
      <c r="C5">
        <v>5</v>
      </c>
      <c r="D5" t="str">
        <f>INDEX(ticket!B:B, MATCH(A5, ticket!E:E, 0))</f>
        <v>2021-08-22 10:15:00</v>
      </c>
    </row>
    <row r="6" spans="1:4" x14ac:dyDescent="0.3">
      <c r="A6" t="s">
        <v>27</v>
      </c>
      <c r="B6" t="s">
        <v>115</v>
      </c>
      <c r="C6">
        <v>3</v>
      </c>
      <c r="D6" t="str">
        <f>INDEX(ticket!B:B, MATCH(A6, ticket!E:E, 0))</f>
        <v>2021-08-22 12:00:00</v>
      </c>
    </row>
    <row r="7" spans="1:4" x14ac:dyDescent="0.3">
      <c r="A7" t="s">
        <v>31</v>
      </c>
      <c r="B7" t="s">
        <v>116</v>
      </c>
      <c r="C7">
        <v>4</v>
      </c>
      <c r="D7" t="str">
        <f>INDEX(ticket!B:B, MATCH(A7, ticket!E:E, 0))</f>
        <v>2021-08-23 09:00:00</v>
      </c>
    </row>
    <row r="8" spans="1:4" x14ac:dyDescent="0.3">
      <c r="A8" t="s">
        <v>35</v>
      </c>
      <c r="B8" t="s">
        <v>117</v>
      </c>
      <c r="C8">
        <v>2</v>
      </c>
      <c r="D8" t="str">
        <f>INDEX(ticket!B:B, MATCH(A8, ticket!E:E, 0))</f>
        <v>2021-08-23 14:00:00</v>
      </c>
    </row>
    <row r="9" spans="1:4" x14ac:dyDescent="0.3">
      <c r="A9" t="s">
        <v>39</v>
      </c>
      <c r="B9" t="s">
        <v>41</v>
      </c>
      <c r="C9">
        <v>5</v>
      </c>
      <c r="D9" t="str">
        <f>INDEX(ticket!B:B, MATCH(A9, ticket!E:E, 0))</f>
        <v>2021-08-24 08:30:00</v>
      </c>
    </row>
    <row r="10" spans="1:4" x14ac:dyDescent="0.3">
      <c r="A10" t="s">
        <v>43</v>
      </c>
      <c r="B10" t="s">
        <v>118</v>
      </c>
      <c r="C10">
        <v>4</v>
      </c>
      <c r="D10" t="str">
        <f>INDEX(ticket!B:B, MATCH(A10, ticket!E:E, 0))</f>
        <v>2021-08-24 10:00:00</v>
      </c>
    </row>
    <row r="11" spans="1:4" x14ac:dyDescent="0.3">
      <c r="A11" t="s">
        <v>47</v>
      </c>
      <c r="B11" t="s">
        <v>49</v>
      </c>
      <c r="C11">
        <v>3</v>
      </c>
      <c r="D11" t="str">
        <f>INDEX(ticket!B:B, MATCH(A11, ticket!E:E, 0))</f>
        <v>2021-08-25 15:00:00</v>
      </c>
    </row>
    <row r="12" spans="1:4" x14ac:dyDescent="0.3">
      <c r="A12" t="s">
        <v>51</v>
      </c>
      <c r="B12" t="s">
        <v>119</v>
      </c>
      <c r="C12">
        <v>5</v>
      </c>
      <c r="D12" t="str">
        <f>INDEX(ticket!B:B, MATCH(A12, ticket!E:E, 0))</f>
        <v>2021-08-25 16:00:00</v>
      </c>
    </row>
    <row r="13" spans="1:4" x14ac:dyDescent="0.3">
      <c r="A13" t="s">
        <v>55</v>
      </c>
      <c r="B13" t="s">
        <v>57</v>
      </c>
      <c r="C13">
        <v>4</v>
      </c>
      <c r="D13" t="str">
        <f>INDEX(ticket!B:B, MATCH(A13, ticket!E:E, 0))</f>
        <v>2021-08-26 11:00:00</v>
      </c>
    </row>
    <row r="14" spans="1:4" x14ac:dyDescent="0.3">
      <c r="A14" t="s">
        <v>59</v>
      </c>
      <c r="B14" t="s">
        <v>120</v>
      </c>
      <c r="C14">
        <v>2</v>
      </c>
      <c r="D14" t="str">
        <f>INDEX(ticket!B:B, MATCH(A14, ticket!E:E, 0))</f>
        <v>2021-08-26 13:00:00</v>
      </c>
    </row>
    <row r="15" spans="1:4" x14ac:dyDescent="0.3">
      <c r="A15" t="s">
        <v>63</v>
      </c>
      <c r="B15" t="s">
        <v>65</v>
      </c>
      <c r="C15">
        <v>5</v>
      </c>
      <c r="D15" t="str">
        <f>INDEX(ticket!B:B, MATCH(A15, ticket!E:E, 0))</f>
        <v>2021-08-27 09:30:00</v>
      </c>
    </row>
    <row r="16" spans="1:4" x14ac:dyDescent="0.3">
      <c r="A16" t="s">
        <v>67</v>
      </c>
      <c r="B16" t="s">
        <v>121</v>
      </c>
      <c r="C16">
        <v>3</v>
      </c>
      <c r="D16" t="str">
        <f>INDEX(ticket!B:B, MATCH(A16, ticket!E:E, 0))</f>
        <v>2021-08-27 11:00:00</v>
      </c>
    </row>
    <row r="17" spans="1:4" x14ac:dyDescent="0.3">
      <c r="A17" t="s">
        <v>71</v>
      </c>
      <c r="B17" t="s">
        <v>73</v>
      </c>
      <c r="C17">
        <v>4</v>
      </c>
      <c r="D17" t="str">
        <f>INDEX(ticket!B:B, MATCH(A17, ticket!E:E, 0))</f>
        <v>2021-08-28 14:00:00</v>
      </c>
    </row>
    <row r="18" spans="1:4" x14ac:dyDescent="0.3">
      <c r="A18" t="s">
        <v>75</v>
      </c>
      <c r="B18" t="s">
        <v>122</v>
      </c>
      <c r="C18">
        <v>2</v>
      </c>
      <c r="D18" t="str">
        <f>INDEX(ticket!B:B, MATCH(A18, ticket!E:E, 0))</f>
        <v>2021-08-28 17:00:00</v>
      </c>
    </row>
    <row r="19" spans="1:4" x14ac:dyDescent="0.3">
      <c r="A19" t="s">
        <v>79</v>
      </c>
      <c r="B19" t="s">
        <v>81</v>
      </c>
      <c r="C19">
        <v>5</v>
      </c>
      <c r="D19" t="str">
        <f>INDEX(ticket!B:B, MATCH(A19, ticket!E:E, 0))</f>
        <v>2021-08-29 08:00:00</v>
      </c>
    </row>
    <row r="20" spans="1:4" x14ac:dyDescent="0.3">
      <c r="A20" t="s">
        <v>83</v>
      </c>
      <c r="B20" t="s">
        <v>123</v>
      </c>
      <c r="C20">
        <v>3</v>
      </c>
      <c r="D20" t="str">
        <f>INDEX(ticket!B:B, MATCH(A20, ticket!E:E, 0))</f>
        <v>2021-08-29 09:00:00</v>
      </c>
    </row>
    <row r="21" spans="1:4" x14ac:dyDescent="0.3">
      <c r="A21" t="s">
        <v>87</v>
      </c>
      <c r="B21" t="s">
        <v>124</v>
      </c>
      <c r="C21">
        <v>4</v>
      </c>
      <c r="D21" t="str">
        <f>INDEX(ticket!B:B, MATCH(A21, ticket!E:E, 0))</f>
        <v>2021-08-30 10:00:00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Prathamesh Rathi</cp:lastModifiedBy>
  <dcterms:created xsi:type="dcterms:W3CDTF">2026-04-08T16:21:22Z</dcterms:created>
  <dcterms:modified xsi:type="dcterms:W3CDTF">2026-04-09T09:38:58Z</dcterms:modified>
</cp:coreProperties>
</file>